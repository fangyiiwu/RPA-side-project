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芳益\酷東西\"/>
    </mc:Choice>
  </mc:AlternateContent>
  <bookViews>
    <workbookView xWindow="0" yWindow="0" windowWidth="19200" windowHeight="6990"/>
  </bookViews>
  <sheets>
    <sheet name="使用說明" sheetId="5" r:id="rId1"/>
    <sheet name="原始資料&gt;&gt;" sheetId="6" r:id="rId2"/>
    <sheet name="Google表單回覆" sheetId="4" r:id="rId3"/>
    <sheet name="巨集操作&gt;&gt;" sheetId="7" r:id="rId4"/>
    <sheet name="列管temp" sheetId="1" r:id="rId5"/>
    <sheet name="產出內容&gt;&gt;" sheetId="8" r:id="rId6"/>
    <sheet name="列管final" sheetId="3" r:id="rId7"/>
  </sheets>
  <definedNames>
    <definedName name="_xlnm._FilterDatabase" localSheetId="2" hidden="1">Google表單回覆!$A$1:$D$17</definedName>
    <definedName name="_xlnm._FilterDatabase" localSheetId="4" hidden="1">列管temp!$A$1:$D$17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F3" i="1"/>
  <c r="G3" i="1"/>
  <c r="H3" i="1"/>
  <c r="I3" i="1"/>
  <c r="K3" i="1"/>
  <c r="L3" i="1"/>
  <c r="F4" i="1"/>
  <c r="G4" i="1"/>
  <c r="H4" i="1"/>
  <c r="I4" i="1"/>
  <c r="K4" i="1"/>
  <c r="L4" i="1"/>
  <c r="F5" i="1"/>
  <c r="G5" i="1"/>
  <c r="H5" i="1"/>
  <c r="I5" i="1"/>
  <c r="K5" i="1"/>
  <c r="L5" i="1"/>
  <c r="F6" i="1"/>
  <c r="G6" i="1"/>
  <c r="H6" i="1"/>
  <c r="I6" i="1"/>
  <c r="K6" i="1"/>
  <c r="L6" i="1"/>
  <c r="F7" i="1"/>
  <c r="G7" i="1"/>
  <c r="H7" i="1"/>
  <c r="I7" i="1"/>
  <c r="K7" i="1"/>
  <c r="L7" i="1"/>
  <c r="F8" i="1"/>
  <c r="G8" i="1"/>
  <c r="H8" i="1"/>
  <c r="I8" i="1"/>
  <c r="K8" i="1"/>
  <c r="L8" i="1"/>
  <c r="F9" i="1"/>
  <c r="G9" i="1"/>
  <c r="H9" i="1"/>
  <c r="I9" i="1"/>
  <c r="K9" i="1"/>
  <c r="L9" i="1"/>
  <c r="F10" i="1"/>
  <c r="G10" i="1"/>
  <c r="H10" i="1"/>
  <c r="I10" i="1"/>
  <c r="K10" i="1"/>
  <c r="L10" i="1"/>
  <c r="F11" i="1"/>
  <c r="G11" i="1"/>
  <c r="H11" i="1"/>
  <c r="I11" i="1"/>
  <c r="K11" i="1"/>
  <c r="L11" i="1"/>
  <c r="F12" i="1"/>
  <c r="G12" i="1"/>
  <c r="H12" i="1"/>
  <c r="I12" i="1"/>
  <c r="K12" i="1"/>
  <c r="L12" i="1"/>
  <c r="F13" i="1"/>
  <c r="G13" i="1"/>
  <c r="H13" i="1"/>
  <c r="I13" i="1"/>
  <c r="K13" i="1"/>
  <c r="L13" i="1"/>
  <c r="F14" i="1"/>
  <c r="G14" i="1"/>
  <c r="H14" i="1"/>
  <c r="I14" i="1"/>
  <c r="K14" i="1"/>
  <c r="L14" i="1"/>
  <c r="F15" i="1"/>
  <c r="G15" i="1"/>
  <c r="H15" i="1"/>
  <c r="I15" i="1"/>
  <c r="K15" i="1"/>
  <c r="L15" i="1"/>
  <c r="F16" i="1"/>
  <c r="G16" i="1"/>
  <c r="H16" i="1"/>
  <c r="I16" i="1"/>
  <c r="K16" i="1"/>
  <c r="L16" i="1"/>
  <c r="F17" i="1"/>
  <c r="G17" i="1"/>
  <c r="H17" i="1"/>
  <c r="I17" i="1"/>
  <c r="K17" i="1"/>
  <c r="L17" i="1"/>
  <c r="L2" i="1"/>
  <c r="K2" i="1"/>
  <c r="J2" i="1"/>
  <c r="H2" i="1"/>
  <c r="G2" i="1"/>
  <c r="F2" i="1"/>
  <c r="I2" i="1"/>
</calcChain>
</file>

<file path=xl/sharedStrings.xml><?xml version="1.0" encoding="utf-8"?>
<sst xmlns="http://schemas.openxmlformats.org/spreadsheetml/2006/main" count="245" uniqueCount="104">
  <si>
    <t>學號</t>
    <phoneticPr fontId="1" type="noConversion"/>
  </si>
  <si>
    <t>姓名</t>
    <phoneticPr fontId="1" type="noConversion"/>
  </si>
  <si>
    <t>列管事項</t>
    <phoneticPr fontId="1" type="noConversion"/>
  </si>
  <si>
    <t>備考</t>
    <phoneticPr fontId="1" type="noConversion"/>
  </si>
  <si>
    <t>酒</t>
    <phoneticPr fontId="1" type="noConversion"/>
  </si>
  <si>
    <t>色</t>
  </si>
  <si>
    <t>財</t>
    <phoneticPr fontId="1" type="noConversion"/>
  </si>
  <si>
    <t>氣</t>
    <phoneticPr fontId="1" type="noConversion"/>
  </si>
  <si>
    <t>賭</t>
    <phoneticPr fontId="1" type="noConversion"/>
  </si>
  <si>
    <t>幫</t>
    <phoneticPr fontId="1" type="noConversion"/>
  </si>
  <si>
    <t>毒</t>
    <phoneticPr fontId="1" type="noConversion"/>
  </si>
  <si>
    <t>001</t>
    <phoneticPr fontId="1" type="noConversion"/>
  </si>
  <si>
    <t>002</t>
    <phoneticPr fontId="1" type="noConversion"/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</si>
  <si>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</si>
  <si>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</si>
  <si>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</si>
  <si>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</si>
  <si>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</si>
  <si>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</si>
  <si>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</si>
  <si>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</si>
  <si>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</si>
  <si>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</si>
  <si>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</si>
  <si>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</si>
  <si>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</si>
  <si>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</si>
  <si>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王小明</t>
    <phoneticPr fontId="1" type="noConversion"/>
  </si>
  <si>
    <t>葉大同</t>
    <phoneticPr fontId="1" type="noConversion"/>
  </si>
  <si>
    <t>陳小君</t>
    <phoneticPr fontId="1" type="noConversion"/>
  </si>
  <si>
    <t>李xx</t>
    <phoneticPr fontId="1" type="noConversion"/>
  </si>
  <si>
    <t>吳xx</t>
    <phoneticPr fontId="1" type="noConversion"/>
  </si>
  <si>
    <t>王xx</t>
    <phoneticPr fontId="1" type="noConversion"/>
  </si>
  <si>
    <t>陳xx</t>
    <phoneticPr fontId="1" type="noConversion"/>
  </si>
  <si>
    <t>金xx</t>
    <phoneticPr fontId="1" type="noConversion"/>
  </si>
  <si>
    <t>張xx</t>
    <phoneticPr fontId="1" type="noConversion"/>
  </si>
  <si>
    <t>劉xx</t>
    <phoneticPr fontId="1" type="noConversion"/>
  </si>
  <si>
    <t>彭xx</t>
    <phoneticPr fontId="1" type="noConversion"/>
  </si>
  <si>
    <t>呂xx</t>
    <phoneticPr fontId="1" type="noConversion"/>
  </si>
  <si>
    <t>廖xx</t>
    <phoneticPr fontId="1" type="noConversion"/>
  </si>
  <si>
    <t>羅xx</t>
    <phoneticPr fontId="1" type="noConversion"/>
  </si>
  <si>
    <t>黃xx</t>
    <phoneticPr fontId="1" type="noConversion"/>
  </si>
  <si>
    <t>許xx</t>
    <phoneticPr fontId="1" type="noConversion"/>
  </si>
  <si>
    <t>是否有飲酒習慣</t>
    <phoneticPr fontId="1" type="noConversion"/>
  </si>
  <si>
    <t>飲酒頻率</t>
    <phoneticPr fontId="1" type="noConversion"/>
  </si>
  <si>
    <t>是</t>
    <phoneticPr fontId="1" type="noConversion"/>
  </si>
  <si>
    <t>否</t>
    <phoneticPr fontId="1" type="noConversion"/>
  </si>
  <si>
    <t>每周一次</t>
    <phoneticPr fontId="1" type="noConversion"/>
  </si>
  <si>
    <t>每兩周一次</t>
    <phoneticPr fontId="1" type="noConversion"/>
  </si>
  <si>
    <t>每周一次</t>
    <phoneticPr fontId="1" type="noConversion"/>
  </si>
  <si>
    <t>每月一次</t>
    <phoneticPr fontId="1" type="noConversion"/>
  </si>
  <si>
    <t>否</t>
    <phoneticPr fontId="1" type="noConversion"/>
  </si>
  <si>
    <t>是</t>
    <phoneticPr fontId="1" type="noConversion"/>
  </si>
  <si>
    <t>酒店,夜店</t>
    <phoneticPr fontId="1" type="noConversion"/>
  </si>
  <si>
    <t>夜店</t>
    <phoneticPr fontId="1" type="noConversion"/>
  </si>
  <si>
    <t>按摩店</t>
    <phoneticPr fontId="1" type="noConversion"/>
  </si>
  <si>
    <t>會進出場所類別</t>
    <phoneticPr fontId="1" type="noConversion"/>
  </si>
  <si>
    <t>是否有債務</t>
    <phoneticPr fontId="1" type="noConversion"/>
  </si>
  <si>
    <t>是</t>
    <phoneticPr fontId="1" type="noConversion"/>
  </si>
  <si>
    <t>否</t>
    <phoneticPr fontId="1" type="noConversion"/>
  </si>
  <si>
    <t>是</t>
    <phoneticPr fontId="1" type="noConversion"/>
  </si>
  <si>
    <t>債務種類、金額</t>
    <phoneticPr fontId="1" type="noConversion"/>
  </si>
  <si>
    <t>創業貸款100萬</t>
    <phoneticPr fontId="1" type="noConversion"/>
  </si>
  <si>
    <t>車貸5萬</t>
    <phoneticPr fontId="1" type="noConversion"/>
  </si>
  <si>
    <t>學貸20萬</t>
    <phoneticPr fontId="1" type="noConversion"/>
  </si>
  <si>
    <t>信貸10萬</t>
    <phoneticPr fontId="1" type="noConversion"/>
  </si>
  <si>
    <t>當你生氣時如何處理情緒</t>
    <phoneticPr fontId="1" type="noConversion"/>
  </si>
  <si>
    <t>動手打人</t>
    <phoneticPr fontId="1" type="noConversion"/>
  </si>
  <si>
    <t>自行消化</t>
    <phoneticPr fontId="1" type="noConversion"/>
  </si>
  <si>
    <t>獨自生氣</t>
    <phoneticPr fontId="1" type="noConversion"/>
  </si>
  <si>
    <t>是否有前科</t>
    <phoneticPr fontId="1" type="noConversion"/>
  </si>
  <si>
    <t>前科內容</t>
    <phoneticPr fontId="1" type="noConversion"/>
  </si>
  <si>
    <t>酒駕</t>
    <phoneticPr fontId="1" type="noConversion"/>
  </si>
  <si>
    <t>開槍</t>
    <phoneticPr fontId="1" type="noConversion"/>
  </si>
  <si>
    <t>械鬥</t>
    <phoneticPr fontId="1" type="noConversion"/>
  </si>
  <si>
    <t>休閒時是否會進出以下場所(ex:酒店,夜店,按摩店,)</t>
    <phoneticPr fontId="1" type="noConversion"/>
  </si>
  <si>
    <t>休閒時是否參與博奕類活動</t>
    <phoneticPr fontId="1" type="noConversion"/>
  </si>
  <si>
    <t>博弈種類</t>
    <phoneticPr fontId="1" type="noConversion"/>
  </si>
  <si>
    <t>麻將</t>
    <phoneticPr fontId="1" type="noConversion"/>
  </si>
  <si>
    <t>地下539</t>
    <phoneticPr fontId="1" type="noConversion"/>
  </si>
  <si>
    <t>運彩簽賭</t>
    <phoneticPr fontId="1" type="noConversion"/>
  </si>
  <si>
    <t>是否曾吸毒或販毒</t>
    <phoneticPr fontId="1" type="noConversion"/>
  </si>
  <si>
    <t>涉及毒品種類</t>
    <phoneticPr fontId="1" type="noConversion"/>
  </si>
  <si>
    <r>
      <t>已代入公式自動產生</t>
    </r>
    <r>
      <rPr>
        <sz val="12"/>
        <color theme="1"/>
        <rFont val="新細明體"/>
        <family val="1"/>
        <charset val="136"/>
      </rPr>
      <t>→</t>
    </r>
    <phoneticPr fontId="1" type="noConversion"/>
  </si>
  <si>
    <t>1、完成temp</t>
    <phoneticPr fontId="1" type="noConversion"/>
  </si>
  <si>
    <t>2、temp貼至final</t>
    <phoneticPr fontId="1" type="noConversion"/>
  </si>
  <si>
    <t>清除temp和final產出</t>
    <phoneticPr fontId="1" type="noConversion"/>
  </si>
  <si>
    <t>巨集按鈕名稱</t>
    <phoneticPr fontId="1" type="noConversion"/>
  </si>
  <si>
    <t>內容</t>
    <phoneticPr fontId="1" type="noConversion"/>
  </si>
  <si>
    <t>將工作表"列管temp"中每列F~L欄內容，彙整到C欄，同時D欄註記有哪些項目、共計幾項</t>
    <phoneticPr fontId="1" type="noConversion"/>
  </si>
  <si>
    <t>將工作表"列管temp"有列管項目者篩出，貼在工作表"列管final"</t>
    <phoneticPr fontId="1" type="noConversion"/>
  </si>
  <si>
    <t>將工作表"列管temp"的C和D欄、工作表"列管final"A~D欄清空</t>
    <phoneticPr fontId="1" type="noConversion"/>
  </si>
  <si>
    <t>檔案內容(What)</t>
    <phoneticPr fontId="1" type="noConversion"/>
  </si>
  <si>
    <t>透過excel公式結合VBA，將google表單回覆，自動產生符合國軍格式的新兵列管項目表格。</t>
    <phoneticPr fontId="1" type="noConversion"/>
  </si>
  <si>
    <r>
      <t xml:space="preserve">* Why有這個檔案：
    * </t>
    </r>
    <r>
      <rPr>
        <b/>
        <sz val="12"/>
        <color theme="1"/>
        <rFont val="新細明體"/>
        <family val="1"/>
        <charset val="136"/>
        <scheme val="minor"/>
      </rPr>
      <t>緣起</t>
    </r>
    <r>
      <rPr>
        <sz val="12"/>
        <color theme="1"/>
        <rFont val="新細明體"/>
        <family val="2"/>
        <charset val="136"/>
        <scheme val="minor"/>
      </rPr>
      <t xml:space="preserve">：國軍為掌握新進人員，避免人員服役期間在營區或營外發生事故或違反軍紀事件，因此將特定習性人員列管造冊
    * </t>
    </r>
    <r>
      <rPr>
        <b/>
        <sz val="12"/>
        <color theme="1"/>
        <rFont val="新細明體"/>
        <family val="1"/>
        <charset val="136"/>
        <scheme val="minor"/>
      </rPr>
      <t>檔案用途</t>
    </r>
    <r>
      <rPr>
        <sz val="12"/>
        <color theme="1"/>
        <rFont val="新細明體"/>
        <family val="2"/>
        <charset val="136"/>
        <scheme val="minor"/>
      </rPr>
      <t xml:space="preserve">：這是當兵期間與輔導長構思如何優化新兵資料建立流程而生。
    * </t>
    </r>
    <r>
      <rPr>
        <b/>
        <sz val="12"/>
        <color theme="1"/>
        <rFont val="新細明體"/>
        <family val="1"/>
        <charset val="136"/>
        <scheme val="minor"/>
      </rPr>
      <t>痛點</t>
    </r>
    <r>
      <rPr>
        <sz val="12"/>
        <color theme="1"/>
        <rFont val="新細明體"/>
        <family val="2"/>
        <charset val="136"/>
        <scheme val="minor"/>
      </rPr>
      <t>：原先要完成要求格式，需大量複製貼上和換行，依照特定邏輯，手動逐筆修改成特定詞彙，耗時耗力難以批量處理</t>
    </r>
    <phoneticPr fontId="1" type="noConversion"/>
  </si>
  <si>
    <t>* 概念: 根據新進人員填寫之google表單，針對特定問題回答，製作國防部所需對應列管項目
* 實作:
    * step 0: 使用Google表單原始回答
    * step 1: 透過欄位公式，將原始回答轉換成對應詞彙
    * step 2: VBA將個人所有列管項目整合成國軍所需格式</t>
    <phoneticPr fontId="1" type="noConversion"/>
  </si>
  <si>
    <r>
      <t>* Why這樣設計：
    * 為</t>
    </r>
    <r>
      <rPr>
        <b/>
        <sz val="12"/>
        <color theme="1"/>
        <rFont val="新細明體"/>
        <family val="1"/>
        <charset val="136"/>
        <scheme val="minor"/>
      </rPr>
      <t>易維護性</t>
    </r>
    <r>
      <rPr>
        <sz val="12"/>
        <color theme="1"/>
        <rFont val="新細明體"/>
        <family val="2"/>
        <charset val="136"/>
        <scheme val="minor"/>
      </rPr>
      <t>和</t>
    </r>
    <r>
      <rPr>
        <b/>
        <sz val="12"/>
        <color theme="1"/>
        <rFont val="新細明體"/>
        <family val="1"/>
        <charset val="136"/>
        <scheme val="minor"/>
      </rPr>
      <t>可擴充性</t>
    </r>
    <r>
      <rPr>
        <sz val="12"/>
        <color theme="1"/>
        <rFont val="新細明體"/>
        <family val="2"/>
        <charset val="136"/>
        <scheme val="minor"/>
      </rPr>
      <t>，使用excel公式結合VBA、而非全VBA。
    * 將商業邏輯設計在excel公式讓使用者能自行修改；VBA負責重複性動作</t>
    </r>
    <phoneticPr fontId="1" type="noConversion"/>
  </si>
  <si>
    <t>本檔案用途 (Why)</t>
    <phoneticPr fontId="1" type="noConversion"/>
  </si>
  <si>
    <t>如何實現(How)</t>
    <phoneticPr fontId="1" type="noConversion"/>
  </si>
  <si>
    <r>
      <rPr>
        <sz val="12"/>
        <color theme="1"/>
        <rFont val="新細明體"/>
        <family val="1"/>
        <charset val="136"/>
        <scheme val="minor"/>
      </rPr>
      <t xml:space="preserve">* </t>
    </r>
    <r>
      <rPr>
        <sz val="12"/>
        <color theme="1"/>
        <rFont val="新細明體"/>
        <family val="2"/>
        <charset val="136"/>
        <scheme val="minor"/>
      </rPr>
      <t>所有巨集控制按鈕皆在"</t>
    </r>
    <r>
      <rPr>
        <b/>
        <sz val="12"/>
        <color theme="1"/>
        <rFont val="新細明體"/>
        <family val="1"/>
        <charset val="136"/>
        <scheme val="minor"/>
      </rPr>
      <t>列管temp"</t>
    </r>
    <r>
      <rPr>
        <sz val="12"/>
        <color theme="1"/>
        <rFont val="新細明體"/>
        <family val="2"/>
        <charset val="136"/>
        <scheme val="minor"/>
      </rPr>
      <t xml:space="preserve">工作表，點擊按鈕即開始流程。
</t>
    </r>
    <r>
      <rPr>
        <sz val="12"/>
        <color theme="1"/>
        <rFont val="新細明體"/>
        <family val="1"/>
        <charset val="136"/>
        <scheme val="minor"/>
      </rPr>
      <t xml:space="preserve">* </t>
    </r>
    <r>
      <rPr>
        <sz val="12"/>
        <color theme="1"/>
        <rFont val="新細明體"/>
        <family val="2"/>
        <charset val="136"/>
        <scheme val="minor"/>
      </rPr>
      <t>按照</t>
    </r>
    <r>
      <rPr>
        <sz val="12"/>
        <color theme="1"/>
        <rFont val="新細明體"/>
        <family val="1"/>
        <charset val="136"/>
        <scheme val="minor"/>
      </rPr>
      <t>1</t>
    </r>
    <r>
      <rPr>
        <sz val="12"/>
        <color theme="1"/>
        <rFont val="新細明體"/>
        <family val="2"/>
        <charset val="136"/>
        <scheme val="minor"/>
      </rPr>
      <t>、</t>
    </r>
    <r>
      <rPr>
        <sz val="12"/>
        <color theme="1"/>
        <rFont val="新細明體"/>
        <family val="1"/>
        <charset val="136"/>
        <scheme val="minor"/>
      </rPr>
      <t>2</t>
    </r>
    <r>
      <rPr>
        <sz val="12"/>
        <color theme="1"/>
        <rFont val="新細明體"/>
        <family val="2"/>
        <charset val="136"/>
        <scheme val="minor"/>
      </rPr>
      <t>順序即可產製所需內容</t>
    </r>
    <phoneticPr fontId="1" type="noConversion"/>
  </si>
  <si>
    <t>Gorden circle</t>
    <phoneticPr fontId="1" type="noConversion"/>
  </si>
  <si>
    <t>說明</t>
    <phoneticPr fontId="1" type="noConversion"/>
  </si>
  <si>
    <t>【一、檔案介紹】</t>
    <phoneticPr fontId="1" type="noConversion"/>
  </si>
  <si>
    <t>【二、VBA使用方式】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</si>
</sst>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49" fontId="2" fillId="3" borderId="0" xfId="0" applyNumberFormat="1" applyFont="1" applyFill="1">
      <alignment vertical="center"/>
    </xf>
    <xf numFmtId="0" fontId="2" fillId="3" borderId="0" xfId="0" applyFont="1" applyFill="1">
      <alignment vertical="center"/>
    </xf>
    <xf numFmtId="0" fontId="2" fillId="4" borderId="0" xfId="0" applyFont="1" applyFill="1" applyAlignment="1">
      <alignment horizontal="center" vertical="center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215900</xdr:colOff>
          <xdr:row>2</xdr:row>
          <xdr:rowOff>152400</xdr:rowOff>
        </xdr:from>
        <xdr:to>
          <xdr:col>4</xdr:col>
          <xdr:colOff>1390650</xdr:colOff>
          <xdr:row>5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1、完成列管temp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260350</xdr:colOff>
          <xdr:row>6</xdr:row>
          <xdr:rowOff>133350</xdr:rowOff>
        </xdr:from>
        <xdr:to>
          <xdr:col>4</xdr:col>
          <xdr:colOff>1403350</xdr:colOff>
          <xdr:row>9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2、從"列管temp"貼至"列管final"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292100</xdr:colOff>
          <xdr:row>11</xdr:row>
          <xdr:rowOff>44450</xdr:rowOff>
        </xdr:from>
        <xdr:to>
          <xdr:col>4</xdr:col>
          <xdr:colOff>1403350</xdr:colOff>
          <xdr:row>14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清除temp和final產出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"/>
  <sheetViews>
    <sheetView tabSelected="1" workbookViewId="0">
      <selection activeCell="B5" sqref="B5"/>
    </sheetView>
  </sheetViews>
  <sheetFormatPr defaultRowHeight="17" x14ac:dyDescent="0.4"/>
  <cols>
    <col min="1" max="1" width="25.08984375" bestFit="1" customWidth="1"/>
    <col min="2" max="2" width="122" customWidth="1"/>
  </cols>
  <sheetData>
    <row r="1" spans="1:2" x14ac:dyDescent="0.4">
      <c r="A1" s="9" t="s">
        <v>102</v>
      </c>
      <c r="B1" s="8"/>
    </row>
    <row r="2" spans="1:2" x14ac:dyDescent="0.4">
      <c r="A2" s="13" t="s">
        <v>100</v>
      </c>
      <c r="B2" s="13" t="s">
        <v>101</v>
      </c>
    </row>
    <row r="3" spans="1:2" x14ac:dyDescent="0.4">
      <c r="A3" s="9" t="s">
        <v>92</v>
      </c>
      <c r="B3" s="8" t="s">
        <v>93</v>
      </c>
    </row>
    <row r="4" spans="1:2" ht="68" x14ac:dyDescent="0.4">
      <c r="A4" s="10" t="s">
        <v>97</v>
      </c>
      <c r="B4" s="11" t="s">
        <v>94</v>
      </c>
    </row>
    <row r="5" spans="1:2" ht="51" x14ac:dyDescent="0.4">
      <c r="A5" s="10"/>
      <c r="B5" s="11" t="s">
        <v>96</v>
      </c>
    </row>
    <row r="6" spans="1:2" ht="85" x14ac:dyDescent="0.4">
      <c r="A6" s="9" t="s">
        <v>98</v>
      </c>
      <c r="B6" s="11" t="s">
        <v>95</v>
      </c>
    </row>
    <row r="9" spans="1:2" ht="34" x14ac:dyDescent="0.4">
      <c r="A9" s="9" t="s">
        <v>103</v>
      </c>
      <c r="B9" s="12" t="s">
        <v>99</v>
      </c>
    </row>
    <row r="11" spans="1:2" x14ac:dyDescent="0.4">
      <c r="A11" s="13" t="s">
        <v>87</v>
      </c>
      <c r="B11" s="13" t="s">
        <v>88</v>
      </c>
    </row>
    <row r="12" spans="1:2" x14ac:dyDescent="0.4">
      <c r="A12" s="8" t="s">
        <v>84</v>
      </c>
      <c r="B12" s="8" t="s">
        <v>89</v>
      </c>
    </row>
    <row r="13" spans="1:2" x14ac:dyDescent="0.4">
      <c r="A13" s="8" t="s">
        <v>85</v>
      </c>
      <c r="B13" s="8" t="s">
        <v>90</v>
      </c>
    </row>
    <row r="14" spans="1:2" x14ac:dyDescent="0.4">
      <c r="A14" s="8" t="s">
        <v>86</v>
      </c>
      <c r="B14" s="8" t="s">
        <v>91</v>
      </c>
    </row>
  </sheetData>
  <mergeCells count="1">
    <mergeCell ref="A4:A5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>
      <selection activeCell="H12" sqref="H12"/>
    </sheetView>
  </sheetViews>
  <sheetFormatPr defaultRowHeight="17" x14ac:dyDescent="0.4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P17"/>
  <sheetViews>
    <sheetView workbookViewId="0">
      <selection activeCell="K5" activeCellId="1" sqref="K4 K5"/>
    </sheetView>
  </sheetViews>
  <sheetFormatPr defaultRowHeight="17" x14ac:dyDescent="0.4"/>
  <cols>
    <col min="1" max="1" width="5.6328125" style="2" bestFit="1" customWidth="1"/>
    <col min="2" max="2" width="7.90625" bestFit="1" customWidth="1"/>
    <col min="3" max="3" width="16.90625" bestFit="1" customWidth="1"/>
    <col min="4" max="4" width="19.36328125" bestFit="1" customWidth="1"/>
    <col min="5" max="5" width="12.36328125" bestFit="1" customWidth="1"/>
    <col min="6" max="6" width="21.81640625" bestFit="1" customWidth="1"/>
    <col min="7" max="7" width="12.36328125" bestFit="1" customWidth="1"/>
    <col min="8" max="8" width="12.36328125" customWidth="1"/>
    <col min="9" max="9" width="17.08984375" bestFit="1" customWidth="1"/>
    <col min="10" max="10" width="26.54296875" bestFit="1" customWidth="1"/>
    <col min="11" max="11" width="12.36328125" bestFit="1" customWidth="1"/>
    <col min="12" max="12" width="10" bestFit="1" customWidth="1"/>
    <col min="13" max="13" width="28.81640625" bestFit="1" customWidth="1"/>
    <col min="14" max="14" width="10" bestFit="1" customWidth="1"/>
    <col min="15" max="15" width="19.453125" bestFit="1" customWidth="1"/>
  </cols>
  <sheetData>
    <row r="1" spans="1:16" ht="21" customHeight="1" x14ac:dyDescent="0.4">
      <c r="A1" s="2" t="s">
        <v>0</v>
      </c>
      <c r="B1" t="s">
        <v>1</v>
      </c>
      <c r="D1" t="s">
        <v>43</v>
      </c>
      <c r="E1" t="s">
        <v>44</v>
      </c>
      <c r="F1" t="s">
        <v>75</v>
      </c>
      <c r="G1" t="s">
        <v>56</v>
      </c>
      <c r="H1" t="s">
        <v>57</v>
      </c>
      <c r="I1" t="s">
        <v>61</v>
      </c>
      <c r="J1" t="s">
        <v>66</v>
      </c>
      <c r="K1" t="s">
        <v>70</v>
      </c>
      <c r="L1" t="s">
        <v>71</v>
      </c>
      <c r="M1" t="s">
        <v>76</v>
      </c>
      <c r="N1" t="s">
        <v>77</v>
      </c>
      <c r="O1" t="s">
        <v>81</v>
      </c>
      <c r="P1" t="s">
        <v>82</v>
      </c>
    </row>
    <row r="2" spans="1:16" x14ac:dyDescent="0.4">
      <c r="A2" s="2" t="s">
        <v>11</v>
      </c>
      <c r="B2" t="s">
        <v>27</v>
      </c>
      <c r="D2" t="s">
        <v>45</v>
      </c>
      <c r="E2" t="s">
        <v>47</v>
      </c>
      <c r="F2" t="s">
        <v>51</v>
      </c>
      <c r="H2" t="s">
        <v>58</v>
      </c>
      <c r="I2" t="s">
        <v>64</v>
      </c>
      <c r="J2" t="s">
        <v>67</v>
      </c>
      <c r="K2" t="s">
        <v>59</v>
      </c>
      <c r="M2" t="s">
        <v>59</v>
      </c>
      <c r="O2" t="s">
        <v>59</v>
      </c>
    </row>
    <row r="3" spans="1:16" x14ac:dyDescent="0.4">
      <c r="A3" s="2" t="s">
        <v>12</v>
      </c>
      <c r="B3" t="s">
        <v>28</v>
      </c>
      <c r="D3" t="s">
        <v>46</v>
      </c>
      <c r="F3" t="s">
        <v>51</v>
      </c>
      <c r="H3" t="s">
        <v>59</v>
      </c>
      <c r="J3" t="s">
        <v>69</v>
      </c>
      <c r="K3" t="s">
        <v>59</v>
      </c>
      <c r="M3" t="s">
        <v>45</v>
      </c>
      <c r="N3" t="s">
        <v>80</v>
      </c>
      <c r="O3" t="s">
        <v>59</v>
      </c>
    </row>
    <row r="4" spans="1:16" x14ac:dyDescent="0.4">
      <c r="A4" s="2" t="s">
        <v>13</v>
      </c>
      <c r="B4" t="s">
        <v>29</v>
      </c>
      <c r="D4" t="s">
        <v>46</v>
      </c>
      <c r="F4" t="s">
        <v>51</v>
      </c>
      <c r="H4" t="s">
        <v>59</v>
      </c>
      <c r="J4" t="s">
        <v>68</v>
      </c>
      <c r="K4" t="s">
        <v>59</v>
      </c>
      <c r="M4" t="s">
        <v>59</v>
      </c>
      <c r="O4" t="s">
        <v>59</v>
      </c>
    </row>
    <row r="5" spans="1:16" x14ac:dyDescent="0.4">
      <c r="A5" s="2" t="s">
        <v>14</v>
      </c>
      <c r="B5" t="s">
        <v>30</v>
      </c>
      <c r="D5" t="s">
        <v>46</v>
      </c>
      <c r="F5" t="s">
        <v>51</v>
      </c>
      <c r="H5" t="s">
        <v>59</v>
      </c>
      <c r="J5" t="s">
        <v>67</v>
      </c>
      <c r="K5" t="s">
        <v>59</v>
      </c>
      <c r="M5" t="s">
        <v>59</v>
      </c>
      <c r="O5" t="s">
        <v>59</v>
      </c>
    </row>
    <row r="6" spans="1:16" x14ac:dyDescent="0.4">
      <c r="A6" s="2" t="s">
        <v>15</v>
      </c>
      <c r="B6" t="s">
        <v>31</v>
      </c>
      <c r="D6" t="s">
        <v>46</v>
      </c>
      <c r="F6" t="s">
        <v>51</v>
      </c>
      <c r="H6" t="s">
        <v>59</v>
      </c>
      <c r="J6" t="s">
        <v>69</v>
      </c>
      <c r="K6" t="s">
        <v>45</v>
      </c>
      <c r="L6" t="s">
        <v>72</v>
      </c>
      <c r="M6" t="s">
        <v>59</v>
      </c>
      <c r="O6" t="s">
        <v>59</v>
      </c>
    </row>
    <row r="7" spans="1:16" x14ac:dyDescent="0.4">
      <c r="A7" s="2" t="s">
        <v>16</v>
      </c>
      <c r="B7" t="s">
        <v>32</v>
      </c>
      <c r="D7" t="s">
        <v>46</v>
      </c>
      <c r="F7" t="s">
        <v>52</v>
      </c>
      <c r="G7" t="s">
        <v>53</v>
      </c>
      <c r="H7" t="s">
        <v>59</v>
      </c>
      <c r="J7" t="s">
        <v>67</v>
      </c>
      <c r="K7" t="s">
        <v>45</v>
      </c>
      <c r="L7" t="s">
        <v>74</v>
      </c>
      <c r="M7" t="s">
        <v>45</v>
      </c>
      <c r="N7" t="s">
        <v>78</v>
      </c>
      <c r="O7" t="s">
        <v>59</v>
      </c>
    </row>
    <row r="8" spans="1:16" x14ac:dyDescent="0.4">
      <c r="A8" s="2" t="s">
        <v>17</v>
      </c>
      <c r="B8" t="s">
        <v>33</v>
      </c>
      <c r="D8" t="s">
        <v>45</v>
      </c>
      <c r="E8" t="s">
        <v>48</v>
      </c>
      <c r="F8" t="s">
        <v>51</v>
      </c>
      <c r="H8" t="s">
        <v>59</v>
      </c>
      <c r="J8" t="s">
        <v>68</v>
      </c>
      <c r="K8" t="s">
        <v>59</v>
      </c>
      <c r="M8" t="s">
        <v>59</v>
      </c>
      <c r="O8" t="s">
        <v>59</v>
      </c>
    </row>
    <row r="9" spans="1:16" x14ac:dyDescent="0.4">
      <c r="A9" s="2" t="s">
        <v>18</v>
      </c>
      <c r="B9" t="s">
        <v>34</v>
      </c>
      <c r="D9" t="s">
        <v>46</v>
      </c>
      <c r="F9" t="s">
        <v>51</v>
      </c>
      <c r="H9" t="s">
        <v>60</v>
      </c>
      <c r="I9" t="s">
        <v>65</v>
      </c>
      <c r="J9" t="s">
        <v>68</v>
      </c>
      <c r="K9" t="s">
        <v>59</v>
      </c>
      <c r="M9" t="s">
        <v>59</v>
      </c>
      <c r="O9" t="s">
        <v>59</v>
      </c>
    </row>
    <row r="10" spans="1:16" x14ac:dyDescent="0.4">
      <c r="A10" s="2" t="s">
        <v>19</v>
      </c>
      <c r="B10" t="s">
        <v>35</v>
      </c>
      <c r="D10" t="s">
        <v>46</v>
      </c>
      <c r="F10" t="s">
        <v>51</v>
      </c>
      <c r="H10" t="s">
        <v>60</v>
      </c>
      <c r="I10" t="s">
        <v>63</v>
      </c>
      <c r="J10" t="s">
        <v>68</v>
      </c>
      <c r="K10" t="s">
        <v>59</v>
      </c>
      <c r="M10" t="s">
        <v>45</v>
      </c>
      <c r="N10" t="s">
        <v>80</v>
      </c>
      <c r="O10" t="s">
        <v>59</v>
      </c>
    </row>
    <row r="11" spans="1:16" x14ac:dyDescent="0.4">
      <c r="A11" s="2" t="s">
        <v>20</v>
      </c>
      <c r="B11" t="s">
        <v>36</v>
      </c>
      <c r="D11" t="s">
        <v>46</v>
      </c>
      <c r="F11" t="s">
        <v>51</v>
      </c>
      <c r="H11" t="s">
        <v>59</v>
      </c>
      <c r="J11" t="s">
        <v>69</v>
      </c>
      <c r="K11" t="s">
        <v>59</v>
      </c>
      <c r="M11" t="s">
        <v>59</v>
      </c>
      <c r="O11" t="s">
        <v>59</v>
      </c>
    </row>
    <row r="12" spans="1:16" x14ac:dyDescent="0.4">
      <c r="A12" s="2" t="s">
        <v>21</v>
      </c>
      <c r="B12" t="s">
        <v>37</v>
      </c>
      <c r="D12" t="s">
        <v>46</v>
      </c>
      <c r="F12" t="s">
        <v>52</v>
      </c>
      <c r="G12" t="s">
        <v>54</v>
      </c>
      <c r="H12" t="s">
        <v>59</v>
      </c>
      <c r="J12" t="s">
        <v>68</v>
      </c>
      <c r="K12" t="s">
        <v>59</v>
      </c>
      <c r="M12" t="s">
        <v>59</v>
      </c>
      <c r="O12" t="s">
        <v>59</v>
      </c>
    </row>
    <row r="13" spans="1:16" x14ac:dyDescent="0.4">
      <c r="A13" s="2" t="s">
        <v>22</v>
      </c>
      <c r="B13" t="s">
        <v>38</v>
      </c>
      <c r="D13" t="s">
        <v>46</v>
      </c>
      <c r="F13" t="s">
        <v>51</v>
      </c>
      <c r="H13" t="s">
        <v>59</v>
      </c>
      <c r="J13" t="s">
        <v>68</v>
      </c>
      <c r="K13" t="s">
        <v>59</v>
      </c>
      <c r="M13" t="s">
        <v>59</v>
      </c>
      <c r="O13" t="s">
        <v>59</v>
      </c>
    </row>
    <row r="14" spans="1:16" x14ac:dyDescent="0.4">
      <c r="A14" s="2" t="s">
        <v>23</v>
      </c>
      <c r="B14" t="s">
        <v>39</v>
      </c>
      <c r="D14" t="s">
        <v>45</v>
      </c>
      <c r="E14" t="s">
        <v>49</v>
      </c>
      <c r="F14" t="s">
        <v>51</v>
      </c>
      <c r="H14" t="s">
        <v>59</v>
      </c>
      <c r="J14" t="s">
        <v>69</v>
      </c>
      <c r="K14" t="s">
        <v>45</v>
      </c>
      <c r="L14" t="s">
        <v>73</v>
      </c>
      <c r="M14" t="s">
        <v>59</v>
      </c>
      <c r="O14" t="s">
        <v>59</v>
      </c>
    </row>
    <row r="15" spans="1:16" x14ac:dyDescent="0.4">
      <c r="A15" s="2" t="s">
        <v>24</v>
      </c>
      <c r="B15" t="s">
        <v>40</v>
      </c>
      <c r="D15" t="s">
        <v>46</v>
      </c>
      <c r="F15" t="s">
        <v>51</v>
      </c>
      <c r="H15" t="s">
        <v>59</v>
      </c>
      <c r="J15" t="s">
        <v>67</v>
      </c>
      <c r="K15" t="s">
        <v>59</v>
      </c>
      <c r="M15" t="s">
        <v>45</v>
      </c>
      <c r="N15" t="s">
        <v>79</v>
      </c>
      <c r="O15" t="s">
        <v>59</v>
      </c>
    </row>
    <row r="16" spans="1:16" x14ac:dyDescent="0.4">
      <c r="A16" s="2" t="s">
        <v>25</v>
      </c>
      <c r="B16" t="s">
        <v>41</v>
      </c>
      <c r="D16" t="s">
        <v>46</v>
      </c>
      <c r="F16" t="s">
        <v>52</v>
      </c>
      <c r="G16" t="s">
        <v>55</v>
      </c>
      <c r="H16" t="s">
        <v>59</v>
      </c>
      <c r="J16" t="s">
        <v>69</v>
      </c>
      <c r="K16" t="s">
        <v>59</v>
      </c>
      <c r="M16" t="s">
        <v>59</v>
      </c>
      <c r="O16" t="s">
        <v>59</v>
      </c>
    </row>
    <row r="17" spans="1:15" x14ac:dyDescent="0.4">
      <c r="A17" s="2" t="s">
        <v>26</v>
      </c>
      <c r="B17" t="s">
        <v>42</v>
      </c>
      <c r="D17" t="s">
        <v>45</v>
      </c>
      <c r="E17" t="s">
        <v>50</v>
      </c>
      <c r="F17" t="s">
        <v>51</v>
      </c>
      <c r="H17" t="s">
        <v>60</v>
      </c>
      <c r="I17" t="s">
        <v>62</v>
      </c>
      <c r="J17" t="s">
        <v>67</v>
      </c>
      <c r="K17" t="s">
        <v>59</v>
      </c>
      <c r="M17" t="s">
        <v>59</v>
      </c>
      <c r="O17" t="s">
        <v>59</v>
      </c>
    </row>
  </sheetData>
  <autoFilter ref="A1:D17"/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>
      <selection activeCell="F14" sqref="F14"/>
    </sheetView>
  </sheetViews>
  <sheetFormatPr defaultRowHeight="17" x14ac:dyDescent="0.4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L18"/>
  <sheetViews>
    <sheetView workbookViewId="0">
      <selection activeCell="C15" sqref="C15"/>
    </sheetView>
  </sheetViews>
  <sheetFormatPr defaultRowHeight="17" x14ac:dyDescent="0.4"/>
  <cols>
    <col min="1" max="1" width="5.6328125" style="2" bestFit="1" customWidth="1"/>
    <col min="2" max="2" width="7.90625" bestFit="1" customWidth="1"/>
    <col min="3" max="3" width="25.7265625" bestFit="1" customWidth="1"/>
    <col min="4" max="4" width="22.90625" bestFit="1" customWidth="1"/>
    <col min="5" max="5" width="24.36328125" customWidth="1"/>
    <col min="6" max="6" width="23.81640625" customWidth="1"/>
    <col min="7" max="7" width="16.90625" bestFit="1" customWidth="1"/>
    <col min="8" max="8" width="13.7265625" bestFit="1" customWidth="1"/>
    <col min="9" max="9" width="13.90625" bestFit="1" customWidth="1"/>
    <col min="10" max="10" width="11.54296875" bestFit="1" customWidth="1"/>
    <col min="11" max="11" width="13.90625" bestFit="1" customWidth="1"/>
    <col min="12" max="12" width="3.453125" bestFit="1" customWidth="1"/>
  </cols>
  <sheetData>
    <row r="1" spans="1:12" x14ac:dyDescent="0.4">
      <c r="A1" s="5" t="s">
        <v>0</v>
      </c>
      <c r="B1" s="6" t="s">
        <v>1</v>
      </c>
      <c r="C1" s="6" t="s">
        <v>2</v>
      </c>
      <c r="D1" s="6" t="s">
        <v>3</v>
      </c>
      <c r="E1" s="1" t="s">
        <v>83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9</v>
      </c>
      <c r="K1" s="7" t="s">
        <v>8</v>
      </c>
      <c r="L1" s="7" t="s">
        <v>10</v>
      </c>
    </row>
    <row r="2" spans="1:12" x14ac:dyDescent="0.4">
      <c r="A2" s="2" t="s">
        <v>11</v>
      </c>
      <c r="B2" t="s">
        <v>27</v>
      </c>
      <c r="F2" t="str">
        <f>IF(Google表單回覆!D2="是",CONCATENATE("具飲酒習慣(",Google表單回覆!E2,")"),"")</f>
        <v>具飲酒習慣(每周一次)</v>
      </c>
      <c r="G2" t="str">
        <f>IF(Google表單回覆!F2="是",CONCATENATE("八大(",Google表單回覆!G2,")"),"")</f>
        <v/>
      </c>
      <c r="H2" t="str">
        <f>IF(Google表單回覆!H2="是",CONCATENATE("債(",Google表單回覆!I2,")"),"")</f>
        <v>債(學貸20萬)</v>
      </c>
      <c r="I2" t="str">
        <f>IF(ISNUMBER(SEARCH("動手打人",Google表單回覆!J2)),"氣(暴力行為)","")</f>
        <v>氣(暴力行為)</v>
      </c>
      <c r="J2" t="str">
        <f>IF(Google表單回覆!K2="是",CONCATENATE("前科(",Google表單回覆!L2,")"),"")</f>
        <v/>
      </c>
      <c r="K2" t="str">
        <f>IF(Google表單回覆!M2="是",CONCATENATE("賭(",Google表單回覆!N2,")"),"")</f>
        <v/>
      </c>
      <c r="L2" t="str">
        <f>IF(Google表單回覆!O2="是",CONCATENATE("毒(",Google表單回覆!P2,")"),"")</f>
        <v/>
      </c>
    </row>
    <row r="3" spans="1:12" x14ac:dyDescent="0.4">
      <c r="A3" s="2" t="s">
        <v>12</v>
      </c>
      <c r="B3" t="s">
        <v>28</v>
      </c>
      <c r="F3" t="str">
        <f>IF(Google表單回覆!D3="是",CONCATENATE("具飲酒習慣(",Google表單回覆!E3,")"),"")</f>
        <v/>
      </c>
      <c r="G3" t="str">
        <f>IF(Google表單回覆!F3="是",CONCATENATE("八大(",Google表單回覆!G3,")"),"")</f>
        <v/>
      </c>
      <c r="H3" t="str">
        <f>IF(Google表單回覆!H3="是",CONCATENATE("債(",Google表單回覆!I3,")"),"")</f>
        <v/>
      </c>
      <c r="I3" t="str">
        <f>IF(ISNUMBER(SEARCH("動手打人",Google表單回覆!J3)),"氣(暴力行為)","")</f>
        <v/>
      </c>
      <c r="J3" t="str">
        <f>IF(Google表單回覆!K3="是",CONCATENATE("前科(",Google表單回覆!L3,")"),"")</f>
        <v/>
      </c>
      <c r="K3" t="str">
        <f>IF(Google表單回覆!M3="是",CONCATENATE("賭(",Google表單回覆!N3,")"),"")</f>
        <v>賭(運彩簽賭)</v>
      </c>
      <c r="L3" t="str">
        <f>IF(Google表單回覆!O3="是",CONCATENATE("毒(",Google表單回覆!P3,")"),"")</f>
        <v/>
      </c>
    </row>
    <row r="4" spans="1:12" x14ac:dyDescent="0.4">
      <c r="A4" s="2" t="s">
        <v>13</v>
      </c>
      <c r="B4" t="s">
        <v>29</v>
      </c>
      <c r="F4" t="str">
        <f>IF(Google表單回覆!D4="是",CONCATENATE("具飲酒習慣(",Google表單回覆!E4,")"),"")</f>
        <v/>
      </c>
      <c r="G4" t="str">
        <f>IF(Google表單回覆!F4="是",CONCATENATE("八大(",Google表單回覆!G4,")"),"")</f>
        <v/>
      </c>
      <c r="H4" t="str">
        <f>IF(Google表單回覆!H4="是",CONCATENATE("債(",Google表單回覆!I4,")"),"")</f>
        <v/>
      </c>
      <c r="I4" t="str">
        <f>IF(ISNUMBER(SEARCH("動手打人",Google表單回覆!J4)),"氣(暴力行為)","")</f>
        <v/>
      </c>
      <c r="J4" t="str">
        <f>IF(Google表單回覆!K4="是",CONCATENATE("前科(",Google表單回覆!L4,")"),"")</f>
        <v/>
      </c>
      <c r="K4" t="str">
        <f>IF(Google表單回覆!M4="是",CONCATENATE("賭(",Google表單回覆!N4,")"),"")</f>
        <v/>
      </c>
      <c r="L4" t="str">
        <f>IF(Google表單回覆!O4="是",CONCATENATE("毒(",Google表單回覆!P4,")"),"")</f>
        <v/>
      </c>
    </row>
    <row r="5" spans="1:12" x14ac:dyDescent="0.4">
      <c r="A5" s="2" t="s">
        <v>14</v>
      </c>
      <c r="B5" t="s">
        <v>30</v>
      </c>
      <c r="F5" t="str">
        <f>IF(Google表單回覆!D5="是",CONCATENATE("具飲酒習慣(",Google表單回覆!E5,")"),"")</f>
        <v/>
      </c>
      <c r="G5" t="str">
        <f>IF(Google表單回覆!F5="是",CONCATENATE("八大(",Google表單回覆!G5,")"),"")</f>
        <v/>
      </c>
      <c r="H5" t="str">
        <f>IF(Google表單回覆!H5="是",CONCATENATE("債(",Google表單回覆!I5,")"),"")</f>
        <v/>
      </c>
      <c r="I5" t="str">
        <f>IF(ISNUMBER(SEARCH("動手打人",Google表單回覆!J5)),"氣(暴力行為)","")</f>
        <v>氣(暴力行為)</v>
      </c>
      <c r="J5" t="str">
        <f>IF(Google表單回覆!K5="是",CONCATENATE("前科(",Google表單回覆!L5,")"),"")</f>
        <v/>
      </c>
      <c r="K5" t="str">
        <f>IF(Google表單回覆!M5="是",CONCATENATE("賭(",Google表單回覆!N5,")"),"")</f>
        <v/>
      </c>
      <c r="L5" t="str">
        <f>IF(Google表單回覆!O5="是",CONCATENATE("毒(",Google表單回覆!P5,")"),"")</f>
        <v/>
      </c>
    </row>
    <row r="6" spans="1:12" x14ac:dyDescent="0.4">
      <c r="A6" s="2" t="s">
        <v>15</v>
      </c>
      <c r="B6" t="s">
        <v>31</v>
      </c>
      <c r="F6" t="str">
        <f>IF(Google表單回覆!D6="是",CONCATENATE("具飲酒習慣(",Google表單回覆!E6,")"),"")</f>
        <v/>
      </c>
      <c r="G6" t="str">
        <f>IF(Google表單回覆!F6="是",CONCATENATE("八大(",Google表單回覆!G6,")"),"")</f>
        <v/>
      </c>
      <c r="H6" t="str">
        <f>IF(Google表單回覆!H6="是",CONCATENATE("債(",Google表單回覆!I6,")"),"")</f>
        <v/>
      </c>
      <c r="I6" t="str">
        <f>IF(ISNUMBER(SEARCH("動手打人",Google表單回覆!J6)),"氣(暴力行為)","")</f>
        <v/>
      </c>
      <c r="J6" t="str">
        <f>IF(Google表單回覆!K6="是",CONCATENATE("前科(",Google表單回覆!L6,")"),"")</f>
        <v>前科(酒駕)</v>
      </c>
      <c r="K6" t="str">
        <f>IF(Google表單回覆!M6="是",CONCATENATE("賭(",Google表單回覆!N6,")"),"")</f>
        <v/>
      </c>
      <c r="L6" t="str">
        <f>IF(Google表單回覆!O6="是",CONCATENATE("毒(",Google表單回覆!P6,")"),"")</f>
        <v/>
      </c>
    </row>
    <row r="7" spans="1:12" x14ac:dyDescent="0.4">
      <c r="A7" s="2" t="s">
        <v>16</v>
      </c>
      <c r="B7" t="s">
        <v>32</v>
      </c>
      <c r="F7" t="str">
        <f>IF(Google表單回覆!D7="是",CONCATENATE("具飲酒習慣(",Google表單回覆!E7,")"),"")</f>
        <v/>
      </c>
      <c r="G7" t="str">
        <f>IF(Google表單回覆!F7="是",CONCATENATE("八大(",Google表單回覆!G7,")"),"")</f>
        <v>八大(酒店,夜店)</v>
      </c>
      <c r="H7" t="str">
        <f>IF(Google表單回覆!H7="是",CONCATENATE("債(",Google表單回覆!I7,")"),"")</f>
        <v/>
      </c>
      <c r="I7" t="str">
        <f>IF(ISNUMBER(SEARCH("動手打人",Google表單回覆!J7)),"氣(暴力行為)","")</f>
        <v>氣(暴力行為)</v>
      </c>
      <c r="J7" t="str">
        <f>IF(Google表單回覆!K7="是",CONCATENATE("前科(",Google表單回覆!L7,")"),"")</f>
        <v>前科(械鬥)</v>
      </c>
      <c r="K7" t="str">
        <f>IF(Google表單回覆!M7="是",CONCATENATE("賭(",Google表單回覆!N7,")"),"")</f>
        <v>賭(麻將)</v>
      </c>
      <c r="L7" t="str">
        <f>IF(Google表單回覆!O7="是",CONCATENATE("毒(",Google表單回覆!P7,")"),"")</f>
        <v/>
      </c>
    </row>
    <row r="8" spans="1:12" x14ac:dyDescent="0.4">
      <c r="A8" s="2" t="s">
        <v>17</v>
      </c>
      <c r="B8" t="s">
        <v>33</v>
      </c>
      <c r="F8" t="str">
        <f>IF(Google表單回覆!D8="是",CONCATENATE("具飲酒習慣(",Google表單回覆!E8,")"),"")</f>
        <v>具飲酒習慣(每兩周一次)</v>
      </c>
      <c r="G8" t="str">
        <f>IF(Google表單回覆!F8="是",CONCATENATE("八大(",Google表單回覆!G8,")"),"")</f>
        <v/>
      </c>
      <c r="H8" t="str">
        <f>IF(Google表單回覆!H8="是",CONCATENATE("債(",Google表單回覆!I8,")"),"")</f>
        <v/>
      </c>
      <c r="I8" t="str">
        <f>IF(ISNUMBER(SEARCH("動手打人",Google表單回覆!J8)),"氣(暴力行為)","")</f>
        <v/>
      </c>
      <c r="J8" t="str">
        <f>IF(Google表單回覆!K8="是",CONCATENATE("前科(",Google表單回覆!L8,")"),"")</f>
        <v/>
      </c>
      <c r="K8" t="str">
        <f>IF(Google表單回覆!M8="是",CONCATENATE("賭(",Google表單回覆!N8,")"),"")</f>
        <v/>
      </c>
      <c r="L8" t="str">
        <f>IF(Google表單回覆!O8="是",CONCATENATE("毒(",Google表單回覆!P8,")"),"")</f>
        <v/>
      </c>
    </row>
    <row r="9" spans="1:12" x14ac:dyDescent="0.4">
      <c r="A9" s="2" t="s">
        <v>18</v>
      </c>
      <c r="B9" t="s">
        <v>34</v>
      </c>
      <c r="F9" t="str">
        <f>IF(Google表單回覆!D9="是",CONCATENATE("具飲酒習慣(",Google表單回覆!E9,")"),"")</f>
        <v/>
      </c>
      <c r="G9" t="str">
        <f>IF(Google表單回覆!F9="是",CONCATENATE("八大(",Google表單回覆!G9,")"),"")</f>
        <v/>
      </c>
      <c r="H9" t="str">
        <f>IF(Google表單回覆!H9="是",CONCATENATE("債(",Google表單回覆!I9,")"),"")</f>
        <v>債(信貸10萬)</v>
      </c>
      <c r="I9" t="str">
        <f>IF(ISNUMBER(SEARCH("動手打人",Google表單回覆!J9)),"氣(暴力行為)","")</f>
        <v/>
      </c>
      <c r="J9" t="str">
        <f>IF(Google表單回覆!K9="是",CONCATENATE("前科(",Google表單回覆!L9,")"),"")</f>
        <v/>
      </c>
      <c r="K9" t="str">
        <f>IF(Google表單回覆!M9="是",CONCATENATE("賭(",Google表單回覆!N9,")"),"")</f>
        <v/>
      </c>
      <c r="L9" t="str">
        <f>IF(Google表單回覆!O9="是",CONCATENATE("毒(",Google表單回覆!P9,")"),"")</f>
        <v/>
      </c>
    </row>
    <row r="10" spans="1:12" x14ac:dyDescent="0.4">
      <c r="A10" s="2" t="s">
        <v>19</v>
      </c>
      <c r="B10" t="s">
        <v>35</v>
      </c>
      <c r="F10" t="str">
        <f>IF(Google表單回覆!D10="是",CONCATENATE("具飲酒習慣(",Google表單回覆!E10,")"),"")</f>
        <v/>
      </c>
      <c r="G10" t="str">
        <f>IF(Google表單回覆!F10="是",CONCATENATE("八大(",Google表單回覆!G10,")"),"")</f>
        <v/>
      </c>
      <c r="H10" t="str">
        <f>IF(Google表單回覆!H10="是",CONCATENATE("債(",Google表單回覆!I10,")"),"")</f>
        <v>債(車貸5萬)</v>
      </c>
      <c r="I10" t="str">
        <f>IF(ISNUMBER(SEARCH("動手打人",Google表單回覆!J10)),"氣(暴力行為)","")</f>
        <v/>
      </c>
      <c r="J10" t="str">
        <f>IF(Google表單回覆!K10="是",CONCATENATE("前科(",Google表單回覆!L10,")"),"")</f>
        <v/>
      </c>
      <c r="K10" t="str">
        <f>IF(Google表單回覆!M10="是",CONCATENATE("賭(",Google表單回覆!N10,")"),"")</f>
        <v>賭(運彩簽賭)</v>
      </c>
      <c r="L10" t="str">
        <f>IF(Google表單回覆!O10="是",CONCATENATE("毒(",Google表單回覆!P10,")"),"")</f>
        <v/>
      </c>
    </row>
    <row r="11" spans="1:12" x14ac:dyDescent="0.4">
      <c r="A11" s="2" t="s">
        <v>20</v>
      </c>
      <c r="B11" t="s">
        <v>36</v>
      </c>
      <c r="F11" t="str">
        <f>IF(Google表單回覆!D11="是",CONCATENATE("具飲酒習慣(",Google表單回覆!E11,")"),"")</f>
        <v/>
      </c>
      <c r="G11" t="str">
        <f>IF(Google表單回覆!F11="是",CONCATENATE("八大(",Google表單回覆!G11,")"),"")</f>
        <v/>
      </c>
      <c r="H11" t="str">
        <f>IF(Google表單回覆!H11="是",CONCATENATE("債(",Google表單回覆!I11,")"),"")</f>
        <v/>
      </c>
      <c r="I11" t="str">
        <f>IF(ISNUMBER(SEARCH("動手打人",Google表單回覆!J11)),"氣(暴力行為)","")</f>
        <v/>
      </c>
      <c r="J11" t="str">
        <f>IF(Google表單回覆!K11="是",CONCATENATE("前科(",Google表單回覆!L11,")"),"")</f>
        <v/>
      </c>
      <c r="K11" t="str">
        <f>IF(Google表單回覆!M11="是",CONCATENATE("賭(",Google表單回覆!N11,")"),"")</f>
        <v/>
      </c>
      <c r="L11" t="str">
        <f>IF(Google表單回覆!O11="是",CONCATENATE("毒(",Google表單回覆!P11,")"),"")</f>
        <v/>
      </c>
    </row>
    <row r="12" spans="1:12" x14ac:dyDescent="0.4">
      <c r="A12" s="2" t="s">
        <v>21</v>
      </c>
      <c r="B12" t="s">
        <v>37</v>
      </c>
      <c r="F12" t="str">
        <f>IF(Google表單回覆!D12="是",CONCATENATE("具飲酒習慣(",Google表單回覆!E12,")"),"")</f>
        <v/>
      </c>
      <c r="G12" t="str">
        <f>IF(Google表單回覆!F12="是",CONCATENATE("八大(",Google表單回覆!G12,")"),"")</f>
        <v>八大(夜店)</v>
      </c>
      <c r="H12" t="str">
        <f>IF(Google表單回覆!H12="是",CONCATENATE("債(",Google表單回覆!I12,")"),"")</f>
        <v/>
      </c>
      <c r="I12" t="str">
        <f>IF(ISNUMBER(SEARCH("動手打人",Google表單回覆!J12)),"氣(暴力行為)","")</f>
        <v/>
      </c>
      <c r="J12" t="str">
        <f>IF(Google表單回覆!K12="是",CONCATENATE("前科(",Google表單回覆!L12,")"),"")</f>
        <v/>
      </c>
      <c r="K12" t="str">
        <f>IF(Google表單回覆!M12="是",CONCATENATE("賭(",Google表單回覆!N12,")"),"")</f>
        <v/>
      </c>
      <c r="L12" t="str">
        <f>IF(Google表單回覆!O12="是",CONCATENATE("毒(",Google表單回覆!P12,")"),"")</f>
        <v/>
      </c>
    </row>
    <row r="13" spans="1:12" x14ac:dyDescent="0.4">
      <c r="A13" s="2" t="s">
        <v>22</v>
      </c>
      <c r="B13" t="s">
        <v>38</v>
      </c>
      <c r="F13" t="str">
        <f>IF(Google表單回覆!D13="是",CONCATENATE("具飲酒習慣(",Google表單回覆!E13,")"),"")</f>
        <v/>
      </c>
      <c r="G13" t="str">
        <f>IF(Google表單回覆!F13="是",CONCATENATE("八大(",Google表單回覆!G13,")"),"")</f>
        <v/>
      </c>
      <c r="H13" t="str">
        <f>IF(Google表單回覆!H13="是",CONCATENATE("債(",Google表單回覆!I13,")"),"")</f>
        <v/>
      </c>
      <c r="I13" t="str">
        <f>IF(ISNUMBER(SEARCH("動手打人",Google表單回覆!J13)),"氣(暴力行為)","")</f>
        <v/>
      </c>
      <c r="J13" t="str">
        <f>IF(Google表單回覆!K13="是",CONCATENATE("前科(",Google表單回覆!L13,")"),"")</f>
        <v/>
      </c>
      <c r="K13" t="str">
        <f>IF(Google表單回覆!M13="是",CONCATENATE("賭(",Google表單回覆!N13,")"),"")</f>
        <v/>
      </c>
      <c r="L13" t="str">
        <f>IF(Google表單回覆!O13="是",CONCATENATE("毒(",Google表單回覆!P13,")"),"")</f>
        <v/>
      </c>
    </row>
    <row r="14" spans="1:12" x14ac:dyDescent="0.4">
      <c r="A14" s="2" t="s">
        <v>23</v>
      </c>
      <c r="B14" t="s">
        <v>39</v>
      </c>
      <c r="F14" t="str">
        <f>IF(Google表單回覆!D14="是",CONCATENATE("具飲酒習慣(",Google表單回覆!E14,")"),"")</f>
        <v>具飲酒習慣(每周一次)</v>
      </c>
      <c r="G14" t="str">
        <f>IF(Google表單回覆!F14="是",CONCATENATE("八大(",Google表單回覆!G14,")"),"")</f>
        <v/>
      </c>
      <c r="H14" t="str">
        <f>IF(Google表單回覆!H14="是",CONCATENATE("債(",Google表單回覆!I14,")"),"")</f>
        <v/>
      </c>
      <c r="I14" t="str">
        <f>IF(ISNUMBER(SEARCH("動手打人",Google表單回覆!J14)),"氣(暴力行為)","")</f>
        <v/>
      </c>
      <c r="J14" t="str">
        <f>IF(Google表單回覆!K14="是",CONCATENATE("前科(",Google表單回覆!L14,")"),"")</f>
        <v>前科(開槍)</v>
      </c>
      <c r="K14" t="str">
        <f>IF(Google表單回覆!M14="是",CONCATENATE("賭(",Google表單回覆!N14,")"),"")</f>
        <v/>
      </c>
      <c r="L14" t="str">
        <f>IF(Google表單回覆!O14="是",CONCATENATE("毒(",Google表單回覆!P14,")"),"")</f>
        <v/>
      </c>
    </row>
    <row r="15" spans="1:12" x14ac:dyDescent="0.4">
      <c r="A15" s="2" t="s">
        <v>24</v>
      </c>
      <c r="B15" t="s">
        <v>40</v>
      </c>
      <c r="F15" t="str">
        <f>IF(Google表單回覆!D15="是",CONCATENATE("具飲酒習慣(",Google表單回覆!E15,")"),"")</f>
        <v/>
      </c>
      <c r="G15" t="str">
        <f>IF(Google表單回覆!F15="是",CONCATENATE("八大(",Google表單回覆!G15,")"),"")</f>
        <v/>
      </c>
      <c r="H15" t="str">
        <f>IF(Google表單回覆!H15="是",CONCATENATE("債(",Google表單回覆!I15,")"),"")</f>
        <v/>
      </c>
      <c r="I15" t="str">
        <f>IF(ISNUMBER(SEARCH("動手打人",Google表單回覆!J15)),"氣(暴力行為)","")</f>
        <v>氣(暴力行為)</v>
      </c>
      <c r="J15" t="str">
        <f>IF(Google表單回覆!K15="是",CONCATENATE("前科(",Google表單回覆!L15,")"),"")</f>
        <v/>
      </c>
      <c r="K15" t="str">
        <f>IF(Google表單回覆!M15="是",CONCATENATE("賭(",Google表單回覆!N15,")"),"")</f>
        <v>賭(地下539)</v>
      </c>
      <c r="L15" t="str">
        <f>IF(Google表單回覆!O15="是",CONCATENATE("毒(",Google表單回覆!P15,")"),"")</f>
        <v/>
      </c>
    </row>
    <row r="16" spans="1:12" x14ac:dyDescent="0.4">
      <c r="A16" s="2" t="s">
        <v>25</v>
      </c>
      <c r="B16" t="s">
        <v>41</v>
      </c>
      <c r="F16" t="str">
        <f>IF(Google表單回覆!D16="是",CONCATENATE("具飲酒習慣(",Google表單回覆!E16,")"),"")</f>
        <v/>
      </c>
      <c r="G16" t="str">
        <f>IF(Google表單回覆!F16="是",CONCATENATE("八大(",Google表單回覆!G16,")"),"")</f>
        <v>八大(按摩店)</v>
      </c>
      <c r="H16" t="str">
        <f>IF(Google表單回覆!H16="是",CONCATENATE("債(",Google表單回覆!I16,")"),"")</f>
        <v/>
      </c>
      <c r="I16" t="str">
        <f>IF(ISNUMBER(SEARCH("動手打人",Google表單回覆!J16)),"氣(暴力行為)","")</f>
        <v/>
      </c>
      <c r="J16" t="str">
        <f>IF(Google表單回覆!K16="是",CONCATENATE("前科(",Google表單回覆!L16,")"),"")</f>
        <v/>
      </c>
      <c r="K16" t="str">
        <f>IF(Google表單回覆!M16="是",CONCATENATE("賭(",Google表單回覆!N16,")"),"")</f>
        <v/>
      </c>
      <c r="L16" t="str">
        <f>IF(Google表單回覆!O16="是",CONCATENATE("毒(",Google表單回覆!P16,")"),"")</f>
        <v/>
      </c>
    </row>
    <row r="17" spans="1:12" x14ac:dyDescent="0.4">
      <c r="A17" s="2" t="s">
        <v>26</v>
      </c>
      <c r="B17" t="s">
        <v>42</v>
      </c>
      <c r="F17" t="str">
        <f>IF(Google表單回覆!D17="是",CONCATENATE("具飲酒習慣(",Google表單回覆!E17,")"),"")</f>
        <v>具飲酒習慣(每月一次)</v>
      </c>
      <c r="G17" t="str">
        <f>IF(Google表單回覆!F17="是",CONCATENATE("八大(",Google表單回覆!G17,")"),"")</f>
        <v/>
      </c>
      <c r="H17" t="str">
        <f>IF(Google表單回覆!H17="是",CONCATENATE("債(",Google表單回覆!I17,")"),"")</f>
        <v>債(創業貸款100萬)</v>
      </c>
      <c r="I17" t="str">
        <f>IF(ISNUMBER(SEARCH("動手打人",Google表單回覆!J17)),"氣(暴力行為)","")</f>
        <v>氣(暴力行為)</v>
      </c>
      <c r="J17" t="str">
        <f>IF(Google表單回覆!K17="是",CONCATENATE("前科(",Google表單回覆!L17,")"),"")</f>
        <v/>
      </c>
      <c r="K17" t="str">
        <f>IF(Google表單回覆!M17="是",CONCATENATE("賭(",Google表單回覆!N17,")"),"")</f>
        <v/>
      </c>
      <c r="L17" t="str">
        <f>IF(Google表單回覆!O17="是",CONCATENATE("毒(",Google表單回覆!P17,")"),"")</f>
        <v/>
      </c>
    </row>
    <row r="18" spans="1:12" s="4" customFormat="1" x14ac:dyDescent="0.4">
      <c r="A18" s="3"/>
    </row>
  </sheetData>
  <autoFilter ref="A1:D17"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列管事項和備考完成">
                <anchor moveWithCells="1" sizeWithCells="1">
                  <from>
                    <xdr:col>4</xdr:col>
                    <xdr:colOff>215900</xdr:colOff>
                    <xdr:row>2</xdr:row>
                    <xdr:rowOff>152400</xdr:rowOff>
                  </from>
                  <to>
                    <xdr:col>4</xdr:col>
                    <xdr:colOff>1390650</xdr:colOff>
                    <xdr:row>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篩出有列管貼至final">
                <anchor moveWithCells="1" sizeWithCells="1">
                  <from>
                    <xdr:col>4</xdr:col>
                    <xdr:colOff>260350</xdr:colOff>
                    <xdr:row>6</xdr:row>
                    <xdr:rowOff>133350</xdr:rowOff>
                  </from>
                  <to>
                    <xdr:col>4</xdr:col>
                    <xdr:colOff>1403350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清除產出">
                <anchor moveWithCells="1" sizeWithCells="1">
                  <from>
                    <xdr:col>4</xdr:col>
                    <xdr:colOff>292100</xdr:colOff>
                    <xdr:row>11</xdr:row>
                    <xdr:rowOff>44450</xdr:rowOff>
                  </from>
                  <to>
                    <xdr:col>4</xdr:col>
                    <xdr:colOff>1403350</xdr:colOff>
                    <xdr:row>14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>
      <selection activeCell="H14" sqref="H14"/>
    </sheetView>
  </sheetViews>
  <sheetFormatPr defaultRowHeight="17" x14ac:dyDescent="0.4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1"/>
  <sheetViews>
    <sheetView workbookViewId="0">
      <selection activeCell="B17" sqref="B17"/>
    </sheetView>
  </sheetViews>
  <sheetFormatPr defaultRowHeight="17" x14ac:dyDescent="0.4"/>
  <cols>
    <col min="3" max="3" width="25.7265625" bestFit="1" customWidth="1"/>
    <col min="4" max="4" width="22.90625" bestFit="1" customWidth="1"/>
    <col min="6" max="6" width="16.26953125" bestFit="1" customWidth="1"/>
    <col min="7" max="7" width="9.26953125" bestFit="1" customWidth="1"/>
    <col min="8" max="8" width="7.08984375" bestFit="1" customWidth="1"/>
    <col min="9" max="9" width="3.453125" bestFit="1" customWidth="1"/>
    <col min="10" max="10" width="9.26953125" bestFit="1" customWidth="1"/>
  </cols>
  <sheetData>
    <row r="1" spans="1:4" x14ac:dyDescent="0.4">
      <c r="A1" s="5" t="s">
        <v>0</v>
      </c>
      <c r="B1" s="6" t="s">
        <v>1</v>
      </c>
      <c r="C1" s="6" t="s">
        <v>2</v>
      </c>
      <c r="D1" s="6" t="s">
        <v>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使用說明</vt:lpstr>
      <vt:lpstr>原始資料&gt;&gt;</vt:lpstr>
      <vt:lpstr>Google表單回覆</vt:lpstr>
      <vt:lpstr>巨集操作&gt;&gt;</vt:lpstr>
      <vt:lpstr>列管temp</vt:lpstr>
      <vt:lpstr>產出內容&gt;&gt;</vt:lpstr>
      <vt:lpstr>列管final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</dc:creator>
  <cp:lastModifiedBy>philip</cp:lastModifiedBy>
  <dcterms:created xsi:type="dcterms:W3CDTF">2024-01-16T00:52:51Z</dcterms:created>
  <dcterms:modified xsi:type="dcterms:W3CDTF">2024-02-12T21:47:54Z</dcterms:modified>
</cp:coreProperties>
</file>